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SI GAMING\Downloads\"/>
    </mc:Choice>
  </mc:AlternateContent>
  <xr:revisionPtr revIDLastSave="0" documentId="8_{DC9BB9B0-2E90-4DDC-A7F0-A3E5691B1EAC}" xr6:coauthVersionLast="47" xr6:coauthVersionMax="47" xr10:uidLastSave="{00000000-0000-0000-0000-000000000000}"/>
  <bookViews>
    <workbookView xWindow="-108" yWindow="-108" windowWidth="23256" windowHeight="12456" xr2:uid="{CFB557F2-3DBF-4F41-AC6B-24EC7A19C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3" i="1"/>
  <c r="O6" i="1"/>
  <c r="N4" i="1"/>
  <c r="N5" i="1"/>
  <c r="N3" i="1"/>
  <c r="N6" i="1"/>
  <c r="M4" i="1"/>
  <c r="M5" i="1"/>
  <c r="M3" i="1"/>
  <c r="M6" i="1"/>
  <c r="L4" i="1"/>
  <c r="L5" i="1"/>
  <c r="L3" i="1"/>
  <c r="L6" i="1"/>
  <c r="K4" i="1"/>
  <c r="K5" i="1"/>
  <c r="K3" i="1"/>
  <c r="K6" i="1"/>
  <c r="K2" i="1"/>
  <c r="J4" i="1"/>
  <c r="J5" i="1"/>
  <c r="J3" i="1"/>
  <c r="J6" i="1"/>
  <c r="J2" i="1"/>
  <c r="H6" i="1"/>
  <c r="I6" i="1" s="1"/>
  <c r="H3" i="1"/>
  <c r="I3" i="1" s="1"/>
  <c r="H5" i="1"/>
  <c r="I5" i="1" s="1"/>
  <c r="H4" i="1"/>
  <c r="I4" i="1" s="1"/>
  <c r="H2" i="1"/>
  <c r="I2" i="1" s="1"/>
</calcChain>
</file>

<file path=xl/sharedStrings.xml><?xml version="1.0" encoding="utf-8"?>
<sst xmlns="http://schemas.openxmlformats.org/spreadsheetml/2006/main" count="19" uniqueCount="19">
  <si>
    <t>NO</t>
  </si>
  <si>
    <t>Nama</t>
  </si>
  <si>
    <t>Uang Bulanan</t>
  </si>
  <si>
    <t>Makan</t>
  </si>
  <si>
    <t>Transport</t>
  </si>
  <si>
    <t>Hiburan</t>
  </si>
  <si>
    <t>Skincare</t>
  </si>
  <si>
    <t>total</t>
  </si>
  <si>
    <t>sisa</t>
  </si>
  <si>
    <t>kebutuhan</t>
  </si>
  <si>
    <t>sekunder</t>
  </si>
  <si>
    <t>adela</t>
  </si>
  <si>
    <t>ihsan</t>
  </si>
  <si>
    <t>cinta</t>
  </si>
  <si>
    <t>% Makan</t>
  </si>
  <si>
    <t xml:space="preserve">% Skincare </t>
  </si>
  <si>
    <t>% Transport</t>
  </si>
  <si>
    <t>% Hiburan</t>
  </si>
  <si>
    <t>Aziz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</si>
</sst>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.##0.00_);_(* \(#.##0.00\);_(* &quot;-&quot;??_);_(@_)"/>
  </numFmts>
  <fonts count="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43" fontId="2" fillId="0" borderId="1" xfId="1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43" fontId="2" fillId="0" borderId="3" xfId="1" applyFont="1" applyBorder="1"/>
    <xf numFmtId="9" fontId="2" fillId="0" borderId="5" xfId="2" applyFont="1" applyBorder="1"/>
    <xf numFmtId="9" fontId="2" fillId="0" borderId="1" xfId="2" applyFont="1" applyBorder="1"/>
    <xf numFmtId="9" fontId="2" fillId="0" borderId="8" xfId="2" applyFont="1" applyBorder="1"/>
    <xf numFmtId="0" fontId="2" fillId="0" borderId="2" xfId="0" applyFont="1" applyBorder="1"/>
    <xf numFmtId="0" fontId="2" fillId="0" borderId="7" xfId="0" applyFont="1" applyBorder="1" applyAlignment="1">
      <alignment horizontal="center"/>
    </xf>
    <xf numFmtId="43" fontId="2" fillId="0" borderId="8" xfId="1" applyFont="1" applyBorder="1"/>
    <xf numFmtId="164" fontId="2" fillId="0" borderId="1" xfId="0" applyNumberFormat="1" applyFont="1" applyBorder="1"/>
    <xf numFmtId="164" fontId="2" fillId="0" borderId="3" xfId="0" applyNumberFormat="1" applyFont="1" applyBorder="1"/>
    <xf numFmtId="43" fontId="2" fillId="0" borderId="9" xfId="1" applyFont="1" applyBorder="1"/>
    <xf numFmtId="164" fontId="2" fillId="0" borderId="5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* #.##0.00_);_(* \(#.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* #.##0.00_);_(* \(#.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* #.##0.00_);_(* \(#.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* #.##0.00_);_(* \(#.##0.00\);_(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* #.##0.00_);_(* \(#.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* #.##0.00_);_(* \(#.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* #.##0.00_);_(* \(#.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Uang Bulanan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Sheet1!$B$2:$B$5</c:f>
              <c:strCache>
                <c:ptCount val="4"/>
                <c:pt idx="1">
                  <c:v>Aziz</c:v>
                </c:pt>
                <c:pt idx="2">
                  <c:v>adela</c:v>
                </c:pt>
                <c:pt idx="3">
                  <c:v>ihsan</c:v>
                </c:pt>
              </c:strCache>
            </c:strRef>
          </c:cat>
          <c:val>
            <c:numRef>
              <c:f>Sheet1!$C$2:$C$5</c:f>
              <c:numCache>
                <c:formatCode>_(* #,##0.00_);_(* \(#,##0.00\);_(* "-"??_);_(@_)</c:formatCode>
                <c:ptCount val="4"/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E-4F61-B321-7EB41553167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Makan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Sheet1!$B$2:$B$5</c:f>
              <c:strCache>
                <c:ptCount val="4"/>
                <c:pt idx="1">
                  <c:v>Aziz</c:v>
                </c:pt>
                <c:pt idx="2">
                  <c:v>adela</c:v>
                </c:pt>
                <c:pt idx="3">
                  <c:v>ihsan</c:v>
                </c:pt>
              </c:strCache>
            </c:strRef>
          </c:cat>
          <c:val>
            <c:numRef>
              <c:f>Sheet1!$D$2:$D$5</c:f>
              <c:numCache>
                <c:formatCode>_(* #,##0.00_);_(* \(#,##0.00\);_(* "-"??_);_(@_)</c:formatCode>
                <c:ptCount val="4"/>
                <c:pt idx="1">
                  <c:v>600000</c:v>
                </c:pt>
                <c:pt idx="2">
                  <c:v>800000</c:v>
                </c:pt>
                <c:pt idx="3">
                  <c:v>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E-4F61-B321-7EB415531677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Sheet1!$B$2:$B$5</c:f>
              <c:strCache>
                <c:ptCount val="4"/>
                <c:pt idx="1">
                  <c:v>Aziz</c:v>
                </c:pt>
                <c:pt idx="2">
                  <c:v>adela</c:v>
                </c:pt>
                <c:pt idx="3">
                  <c:v>ihsan</c:v>
                </c:pt>
              </c:strCache>
            </c:strRef>
          </c:cat>
          <c:val>
            <c:numRef>
              <c:f>Sheet1!$E$2:$E$5</c:f>
              <c:numCache>
                <c:formatCode>_(* #,##0.00_);_(* \(#,##0.00\);_(* "-"??_);_(@_)</c:formatCode>
                <c:ptCount val="4"/>
                <c:pt idx="1">
                  <c:v>50000</c:v>
                </c:pt>
                <c:pt idx="2">
                  <c:v>150000</c:v>
                </c:pt>
                <c:pt idx="3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E-4F61-B321-7EB415531677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Sheet1!$B$2:$B$5</c:f>
              <c:strCache>
                <c:ptCount val="4"/>
                <c:pt idx="1">
                  <c:v>Aziz</c:v>
                </c:pt>
                <c:pt idx="2">
                  <c:v>adela</c:v>
                </c:pt>
                <c:pt idx="3">
                  <c:v>ihsan</c:v>
                </c:pt>
              </c:strCache>
            </c:strRef>
          </c:cat>
          <c:val>
            <c:numRef>
              <c:f>Sheet1!$F$2:$F$5</c:f>
              <c:numCache>
                <c:formatCode>_(* #,##0.00_);_(* \(#,##0.00\);_(* "-"??_);_(@_)</c:formatCode>
                <c:ptCount val="4"/>
                <c:pt idx="1">
                  <c:v>150000</c:v>
                </c:pt>
                <c:pt idx="2">
                  <c:v>200000</c:v>
                </c:pt>
                <c:pt idx="3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FE-4F61-B321-7EB415531677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Hiburan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Sheet1!$B$2:$B$5</c:f>
              <c:strCache>
                <c:ptCount val="4"/>
                <c:pt idx="1">
                  <c:v>Aziz</c:v>
                </c:pt>
                <c:pt idx="2">
                  <c:v>adela</c:v>
                </c:pt>
                <c:pt idx="3">
                  <c:v>ihsan</c:v>
                </c:pt>
              </c:strCache>
            </c:strRef>
          </c:cat>
          <c:val>
            <c:numRef>
              <c:f>Sheet1!$G$2:$G$5</c:f>
              <c:numCache>
                <c:formatCode>_(* #,##0.00_);_(* \(#,##0.00\);_(* "-"??_);_(@_)</c:formatCode>
                <c:ptCount val="4"/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FE-4F61-B321-7EB415531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178320"/>
        <c:axId val="1019200400"/>
      </c:barChart>
      <c:catAx>
        <c:axId val="101917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00400"/>
        <c:crosses val="autoZero"/>
        <c:auto val="1"/>
        <c:lblAlgn val="ctr"/>
        <c:lblOffset val="100"/>
        <c:noMultiLvlLbl val="0"/>
      </c:catAx>
      <c:valAx>
        <c:axId val="10192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7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Makan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Sheet1!$D$2:$D$5</c:f>
              <c:numCache>
                <c:formatCode>_(* #,##0.00_);_(* \(#,##0.00\);_(* "-"??_);_(@_)</c:formatCode>
                <c:ptCount val="4"/>
                <c:pt idx="1">
                  <c:v>600000</c:v>
                </c:pt>
                <c:pt idx="2">
                  <c:v>800000</c:v>
                </c:pt>
                <c:pt idx="3">
                  <c:v>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2-49FF-AF53-31782B5EE32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Skincare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Sheet1!$E$2:$E$5</c:f>
              <c:numCache>
                <c:formatCode>_(* #,##0.00_);_(* \(#,##0.00\);_(* "-"??_);_(@_)</c:formatCode>
                <c:ptCount val="4"/>
                <c:pt idx="1">
                  <c:v>50000</c:v>
                </c:pt>
                <c:pt idx="2">
                  <c:v>150000</c:v>
                </c:pt>
                <c:pt idx="3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2-49FF-AF53-31782B5EE327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Sheet1!$F$2:$F$5</c:f>
              <c:numCache>
                <c:formatCode>_(* #,##0.00_);_(* \(#,##0.00\);_(* "-"??_);_(@_)</c:formatCode>
                <c:ptCount val="4"/>
                <c:pt idx="1">
                  <c:v>150000</c:v>
                </c:pt>
                <c:pt idx="2">
                  <c:v>200000</c:v>
                </c:pt>
                <c:pt idx="3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2-49FF-AF53-31782B5EE327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Hiburan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Sheet1!$G$2:$G$5</c:f>
              <c:numCache>
                <c:formatCode>_(* #,##0.00_);_(* \(#,##0.00\);_(* "-"??_);_(@_)</c:formatCode>
                <c:ptCount val="4"/>
                <c:pt idx="1">
                  <c:v>100000</c:v>
                </c:pt>
                <c:pt idx="2">
                  <c:v>200000</c:v>
                </c:pt>
                <c:pt idx="3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2-49FF-AF53-31782B5EE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520047"/>
        <c:axId val="610521967"/>
      </c:barChart>
      <c:catAx>
        <c:axId val="610520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21967"/>
        <c:crosses val="autoZero"/>
        <c:auto val="1"/>
        <c:lblAlgn val="ctr"/>
        <c:lblOffset val="100"/>
        <c:noMultiLvlLbl val="0"/>
      </c:catAx>
      <c:valAx>
        <c:axId val="61052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2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marker>
          <c:cat>
            <c:strRef>
              <c:f>Sheet1!$B$2:$B$5</c:f>
              <c:strCache>
                <c:ptCount val="4"/>
                <c:pt idx="1">
                  <c:v>Aziz</c:v>
                </c:pt>
                <c:pt idx="2">
                  <c:v>adela</c:v>
                </c:pt>
                <c:pt idx="3">
                  <c:v>ihsan</c:v>
                </c:pt>
              </c:strCache>
            </c:strRef>
          </c:cat>
          <c:val>
            <c:numRef>
              <c:f>Sheet1!$H$2:$H$5</c:f>
              <c:numCache>
                <c:formatCode>_(* #,##0.00_);_(* \(#,##0.00\);_(* "-"??_);_(@_)</c:formatCode>
                <c:ptCount val="4"/>
                <c:pt idx="0" formatCode="_(* #.##0.00_);_(* \(#.##0.00\);_(* &quot;-&quot;??_);_(@_)">
                  <c:v>0</c:v>
                </c:pt>
                <c:pt idx="1">
                  <c:v>900000</c:v>
                </c:pt>
                <c:pt idx="2">
                  <c:v>1350000</c:v>
                </c:pt>
                <c:pt idx="3">
                  <c:v>1580000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0-4916-B837-602D833F2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491359"/>
        <c:axId val="783496159"/>
      </c:lineChart>
      <c:catAx>
        <c:axId val="78349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96159"/>
        <c:crosses val="autoZero"/>
        <c:auto val="1"/>
        <c:lblAlgn val="ctr"/>
        <c:lblOffset val="100"/>
        <c:noMultiLvlLbl val="0"/>
      </c:catAx>
      <c:valAx>
        <c:axId val="78349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.##0.00_);_(* \(#.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9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Uang Bulanan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Sheet1!$B$2:$B$5</c:f>
              <c:strCache>
                <c:ptCount val="4"/>
                <c:pt idx="1">
                  <c:v>Aziz</c:v>
                </c:pt>
                <c:pt idx="2">
                  <c:v>adela</c:v>
                </c:pt>
                <c:pt idx="3">
                  <c:v>ihsan</c:v>
                </c:pt>
              </c:strCache>
            </c:strRef>
          </c:cat>
          <c:val>
            <c:numRef>
              <c:f>Sheet1!$C$2:$C$5</c:f>
              <c:numCache>
                <c:formatCode>_(* #,##0.00_);_(* \(#,##0.00\);_(* "-"??_);_(@_)</c:formatCode>
                <c:ptCount val="4"/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E-467F-9AF1-7804D6E52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555567"/>
        <c:axId val="610557967"/>
      </c:barChart>
      <c:catAx>
        <c:axId val="61055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57967"/>
        <c:crosses val="autoZero"/>
        <c:auto val="1"/>
        <c:lblAlgn val="ctr"/>
        <c:lblOffset val="100"/>
        <c:noMultiLvlLbl val="0"/>
      </c:catAx>
      <c:valAx>
        <c:axId val="61055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5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% Makan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Sheet1!$L$2:$L$6</c:f>
              <c:numCache>
                <c:formatCode>0%</c:formatCode>
                <c:ptCount val="5"/>
                <c:pt idx="1">
                  <c:v>0.6</c:v>
                </c:pt>
                <c:pt idx="2">
                  <c:v>0.53333333333333333</c:v>
                </c:pt>
                <c:pt idx="3">
                  <c:v>0.45</c:v>
                </c:pt>
                <c:pt idx="4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1-4A22-B70E-FFE7085A6778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% Skincare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Sheet1!$M$2:$M$6</c:f>
              <c:numCache>
                <c:formatCode>0%</c:formatCode>
                <c:ptCount val="5"/>
                <c:pt idx="1">
                  <c:v>0.05</c:v>
                </c:pt>
                <c:pt idx="2">
                  <c:v>0.1</c:v>
                </c:pt>
                <c:pt idx="3">
                  <c:v>0.04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1-4A22-B70E-FFE7085A6778}"/>
            </c:ext>
          </c:extLst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% Transport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Sheet1!$N$2:$N$6</c:f>
              <c:numCache>
                <c:formatCode>0%</c:formatCode>
                <c:ptCount val="5"/>
                <c:pt idx="1">
                  <c:v>0.15</c:v>
                </c:pt>
                <c:pt idx="2">
                  <c:v>0.13333333333333333</c:v>
                </c:pt>
                <c:pt idx="3">
                  <c:v>0.15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1-4A22-B70E-FFE7085A6778}"/>
            </c:ext>
          </c:extLst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% Hiburan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Sheet1!$O$2:$O$6</c:f>
              <c:numCache>
                <c:formatCode>0%</c:formatCode>
                <c:ptCount val="5"/>
                <c:pt idx="1">
                  <c:v>0.1</c:v>
                </c:pt>
                <c:pt idx="2">
                  <c:v>0.13333333333333333</c:v>
                </c:pt>
                <c:pt idx="3">
                  <c:v>0.15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1-4A22-B70E-FFE7085A6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3458239"/>
        <c:axId val="783465919"/>
      </c:barChart>
      <c:catAx>
        <c:axId val="78345823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65919"/>
        <c:crosses val="autoZero"/>
        <c:auto val="1"/>
        <c:lblAlgn val="ctr"/>
        <c:lblOffset val="100"/>
        <c:noMultiLvlLbl val="0"/>
      </c:catAx>
      <c:valAx>
        <c:axId val="7834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5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76351</xdr:colOff>
      <xdr:row>8</xdr:row>
      <xdr:rowOff>45811</xdr:rowOff>
    </xdr:from>
    <xdr:to>
      <xdr:col>8</xdr:col>
      <xdr:colOff>1110494</xdr:colOff>
      <xdr:row>24</xdr:row>
      <xdr:rowOff>7106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9212E-AAA6-2326-2455-B1BCA0127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25</xdr:row>
      <xdr:rowOff>111578</xdr:rowOff>
    </xdr:from>
    <xdr:to>
      <xdr:col>8</xdr:col>
      <xdr:colOff>1138464</xdr:colOff>
      <xdr:row>41</xdr:row>
      <xdr:rowOff>97064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9C18EC-726F-4D59-CB38-D396E595A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17987</xdr:colOff>
      <xdr:row>42</xdr:row>
      <xdr:rowOff>147863</xdr:rowOff>
    </xdr:from>
    <xdr:to>
      <xdr:col>4</xdr:col>
      <xdr:colOff>1014905</xdr:colOff>
      <xdr:row>58</xdr:row>
      <xdr:rowOff>133349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4B38B-3E9B-13CD-ECCA-92026ED6D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6569</xdr:colOff>
      <xdr:row>25</xdr:row>
      <xdr:rowOff>132693</xdr:rowOff>
    </xdr:from>
    <xdr:to>
      <xdr:col>4</xdr:col>
      <xdr:colOff>991913</xdr:colOff>
      <xdr:row>41</xdr:row>
      <xdr:rowOff>143204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2D4550-7D72-992A-6CC2-19CC462AB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305558</xdr:colOff>
      <xdr:row>42</xdr:row>
      <xdr:rowOff>176063</xdr:rowOff>
    </xdr:from>
    <xdr:to>
      <xdr:col>9</xdr:col>
      <xdr:colOff>340468</xdr:colOff>
      <xdr:row>59</xdr:row>
      <xdr:rowOff>81064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8F2FF3C-B429-50E5-0C84-EE4B4734F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2289A-102D-49E6-A23F-D5B0465F591E}" name="Table1" displayName="Table1" ref="A1:O6" totalsRowShown="0" headerRowDxfId="19" dataDxfId="17" headerRowBorderDxfId="18" tableBorderDxfId="16" totalsRowBorderDxfId="15">
  <autoFilter ref="A1:O6" xr:uid="{69B2289A-102D-49E6-A23F-D5B0465F591E}"/>
  <sortState xmlns:xlrd2="http://schemas.microsoft.com/office/spreadsheetml/2017/richdata2" ref="A2:O6">
    <sortCondition ref="H2:H6"/>
  </sortState>
  <tableColumns count="15">
    <tableColumn id="1" xr3:uid="{5DF89B75-573A-40F2-86D9-F397CC2CEC59}" name="NO" dataDxfId="14"/>
    <tableColumn id="2" xr3:uid="{05190B1E-9C01-4602-9103-3834EA7E47DD}" name="Nama" dataDxfId="13"/>
    <tableColumn id="3" xr3:uid="{FA28F1CE-8CDB-4964-86CC-6F4E0BD1A24A}" name="Uang Bulanan" dataDxfId="12" dataCellStyle="Comma"/>
    <tableColumn id="4" xr3:uid="{0EC80216-6164-485B-AB23-E5E9CA1A9CAC}" name="Makan" dataDxfId="11"/>
    <tableColumn id="5" xr3:uid="{A87F6477-D201-48BB-858B-8802EF5C6782}" name="Skincare" dataDxfId="10"/>
    <tableColumn id="6" xr3:uid="{33A77D01-425C-400E-9CB0-56FCC6138763}" name="Transport" dataDxfId="9"/>
    <tableColumn id="7" xr3:uid="{11547E9B-3A79-4C7A-8CF2-A6AD57B28522}" name="Hiburan" dataDxfId="8"/>
    <tableColumn id="8" xr3:uid="{71ED98CD-CF3C-4EDB-94B9-EE3EA6771A37}" name="total" dataDxfId="7">
      <calculatedColumnFormula>D2+E2+F2+G2</calculatedColumnFormula>
    </tableColumn>
    <tableColumn id="9" xr3:uid="{7D265ECE-BF26-450D-8182-07628674E4AA}" name="sisa" dataDxfId="6">
      <calculatedColumnFormula>C2-H2</calculatedColumnFormula>
    </tableColumn>
    <tableColumn id="10" xr3:uid="{51E6B90F-60B9-4518-8B12-A5A4D3DC83C3}" name="kebutuhan" dataDxfId="5">
      <calculatedColumnFormula>D2+F2</calculatedColumnFormula>
    </tableColumn>
    <tableColumn id="11" xr3:uid="{16CD75F4-E565-4423-BCFF-B1EDCD501DC7}" name="sekunder" dataDxfId="4">
      <calculatedColumnFormula>E2+G2</calculatedColumnFormula>
    </tableColumn>
    <tableColumn id="12" xr3:uid="{E93F9DFF-DC9D-47CC-AB14-4A9C45E80187}" name="% Makan" dataDxfId="3" dataCellStyle="Percent">
      <calculatedColumnFormula>D2/C2</calculatedColumnFormula>
    </tableColumn>
    <tableColumn id="13" xr3:uid="{599997D2-45E3-447E-876E-9D7EACA8A64B}" name="% Skincare " dataDxfId="2">
      <calculatedColumnFormula>E2/C2</calculatedColumnFormula>
    </tableColumn>
    <tableColumn id="14" xr3:uid="{636FD872-DF96-4C7E-A2F6-9FF1A65CBDF8}" name="% Transport" dataDxfId="1">
      <calculatedColumnFormula>F2/C2</calculatedColumnFormula>
    </tableColumn>
    <tableColumn id="15" xr3:uid="{5514FDFE-E07A-4D0C-ABBE-DF4AA51B6F68}" name="% Hiburan" dataDxfId="0">
      <calculatedColumnFormula>G2/C2</calculatedColumnFormula>
    </tableColumn>
  </tableColumns>
  <tableStyleInfo name="TableStyleDark1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6A9C-B35A-4D59-80B5-AB896E15F8D6}">
  <dimension ref="A1:O6"/>
  <sheetViews>
    <sheetView tabSelected="1" topLeftCell="A37" zoomScale="83" workbookViewId="0">
      <selection activeCell="L1" sqref="L1:O6"/>
    </sheetView>
  </sheetViews>
  <sheetFormatPr defaultRowHeight="13.8" x14ac:dyDescent="0.25"/>
  <cols>
    <col min="2" max="2" width="11.3984375" customWidth="1"/>
    <col min="3" max="3" width="16.296875" customWidth="1"/>
    <col min="4" max="4" width="19.296875" customWidth="1"/>
    <col min="5" max="5" width="13.8984375" customWidth="1"/>
    <col min="6" max="6" width="12.69921875" customWidth="1"/>
    <col min="7" max="7" width="17.3984375" customWidth="1"/>
    <col min="8" max="8" width="16.19921875" bestFit="1" customWidth="1"/>
    <col min="9" max="9" width="15.19921875" bestFit="1" customWidth="1"/>
    <col min="10" max="10" width="17.59765625" customWidth="1"/>
    <col min="11" max="11" width="15.5" customWidth="1"/>
    <col min="12" max="12" width="14.3984375" customWidth="1"/>
    <col min="13" max="13" width="13.8984375" customWidth="1"/>
    <col min="14" max="14" width="16.296875" customWidth="1"/>
    <col min="15" max="15" width="13.296875" customWidth="1"/>
  </cols>
  <sheetData>
    <row r="1" spans="1:15" ht="15.45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4</v>
      </c>
      <c r="G1" s="3" t="s">
        <v>5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15" ht="15.45" x14ac:dyDescent="0.35">
      <c r="A2" s="12"/>
      <c r="B2" s="7"/>
      <c r="C2" s="7"/>
      <c r="D2" s="7"/>
      <c r="E2" s="7"/>
      <c r="F2" s="7"/>
      <c r="G2" s="7"/>
      <c r="H2" s="15">
        <f>D2+E2+F2+G2</f>
        <v>0</v>
      </c>
      <c r="I2" s="15">
        <f>C2-H2</f>
        <v>0</v>
      </c>
      <c r="J2" s="15">
        <f>D2+F2</f>
        <v>0</v>
      </c>
      <c r="K2" s="16">
        <f>E2+G2</f>
        <v>0</v>
      </c>
      <c r="L2" s="9"/>
      <c r="M2" s="18"/>
      <c r="N2" s="18"/>
      <c r="O2" s="18"/>
    </row>
    <row r="3" spans="1:15" ht="15.45" x14ac:dyDescent="0.35">
      <c r="A3" s="6">
        <v>3</v>
      </c>
      <c r="B3" s="7" t="s">
        <v>18</v>
      </c>
      <c r="C3" s="1">
        <v>1000000</v>
      </c>
      <c r="D3" s="1">
        <v>600000</v>
      </c>
      <c r="E3" s="1">
        <v>50000</v>
      </c>
      <c r="F3" s="1">
        <v>150000</v>
      </c>
      <c r="G3" s="1">
        <v>100000</v>
      </c>
      <c r="H3" s="1">
        <f>D3+E3+F3+G3</f>
        <v>900000</v>
      </c>
      <c r="I3" s="1">
        <f>C3-H3</f>
        <v>100000</v>
      </c>
      <c r="J3" s="1">
        <f>D3+F3</f>
        <v>750000</v>
      </c>
      <c r="K3" s="8">
        <f>E3+G3</f>
        <v>150000</v>
      </c>
      <c r="L3" s="10">
        <f>D3/C3</f>
        <v>0.6</v>
      </c>
      <c r="M3" s="10">
        <f>E3/C3</f>
        <v>0.05</v>
      </c>
      <c r="N3" s="10">
        <f>F3/C3</f>
        <v>0.15</v>
      </c>
      <c r="O3" s="10">
        <f>G3/C3</f>
        <v>0.1</v>
      </c>
    </row>
    <row r="4" spans="1:15" ht="15.45" x14ac:dyDescent="0.35">
      <c r="A4" s="6">
        <v>1</v>
      </c>
      <c r="B4" s="7" t="s">
        <v>11</v>
      </c>
      <c r="C4" s="1">
        <v>1500000</v>
      </c>
      <c r="D4" s="1">
        <v>800000</v>
      </c>
      <c r="E4" s="1">
        <v>150000</v>
      </c>
      <c r="F4" s="1">
        <v>200000</v>
      </c>
      <c r="G4" s="1">
        <v>200000</v>
      </c>
      <c r="H4" s="1">
        <f>D4+E4+F4+G4</f>
        <v>1350000</v>
      </c>
      <c r="I4" s="1">
        <f>C4-H4</f>
        <v>150000</v>
      </c>
      <c r="J4" s="1">
        <f>D4+F4</f>
        <v>1000000</v>
      </c>
      <c r="K4" s="8">
        <f>E4+G4</f>
        <v>350000</v>
      </c>
      <c r="L4" s="10">
        <f>D4/C4</f>
        <v>0.53333333333333333</v>
      </c>
      <c r="M4" s="10">
        <f>E4/C4</f>
        <v>0.1</v>
      </c>
      <c r="N4" s="10">
        <f>F4/C4</f>
        <v>0.13333333333333333</v>
      </c>
      <c r="O4" s="10">
        <f>G4/C4</f>
        <v>0.13333333333333333</v>
      </c>
    </row>
    <row r="5" spans="1:15" ht="15.45" x14ac:dyDescent="0.35">
      <c r="A5" s="6">
        <v>2</v>
      </c>
      <c r="B5" s="7" t="s">
        <v>12</v>
      </c>
      <c r="C5" s="1">
        <v>2000000</v>
      </c>
      <c r="D5" s="1">
        <v>900000</v>
      </c>
      <c r="E5" s="1">
        <v>80000</v>
      </c>
      <c r="F5" s="1">
        <v>300000</v>
      </c>
      <c r="G5" s="1">
        <v>300000</v>
      </c>
      <c r="H5" s="1">
        <f>D5+E5+F5+G5</f>
        <v>1580000</v>
      </c>
      <c r="I5" s="1">
        <f>C5-H5</f>
        <v>420000</v>
      </c>
      <c r="J5" s="1">
        <f>D5+F5</f>
        <v>1200000</v>
      </c>
      <c r="K5" s="8">
        <f>E5+G5</f>
        <v>380000</v>
      </c>
      <c r="L5" s="10">
        <f>D5/C5</f>
        <v>0.45</v>
      </c>
      <c r="M5" s="10">
        <f>E5/C5</f>
        <v>0.04</v>
      </c>
      <c r="N5" s="10">
        <f>F5/C5</f>
        <v>0.15</v>
      </c>
      <c r="O5" s="10">
        <f>G5/C5</f>
        <v>0.15</v>
      </c>
    </row>
    <row r="6" spans="1:15" ht="15.45" x14ac:dyDescent="0.35">
      <c r="A6" s="13">
        <v>4</v>
      </c>
      <c r="B6" s="5" t="s">
        <v>13</v>
      </c>
      <c r="C6" s="14">
        <v>2500000</v>
      </c>
      <c r="D6" s="14">
        <v>1200000</v>
      </c>
      <c r="E6" s="14">
        <v>300000</v>
      </c>
      <c r="F6" s="14">
        <v>400000</v>
      </c>
      <c r="G6" s="14">
        <v>300000</v>
      </c>
      <c r="H6" s="14">
        <f>D6+E6+F6+G6</f>
        <v>2200000</v>
      </c>
      <c r="I6" s="14">
        <f>C6-H6</f>
        <v>300000</v>
      </c>
      <c r="J6" s="14">
        <f>D6+F6</f>
        <v>1600000</v>
      </c>
      <c r="K6" s="17">
        <f>E6+G6</f>
        <v>600000</v>
      </c>
      <c r="L6" s="11">
        <f>D6/C6</f>
        <v>0.48</v>
      </c>
      <c r="M6" s="11">
        <f>E6/C6</f>
        <v>0.12</v>
      </c>
      <c r="N6" s="11">
        <f>F6/C6</f>
        <v>0.16</v>
      </c>
      <c r="O6" s="11">
        <f>G6/C6</f>
        <v>0.12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 fooza</dc:creator>
  <cp:lastModifiedBy>MSI GAMING</cp:lastModifiedBy>
  <dcterms:created xsi:type="dcterms:W3CDTF">2026-04-05T05:27:46Z</dcterms:created>
  <dcterms:modified xsi:type="dcterms:W3CDTF">2026-04-09T01:35:42Z</dcterms:modified>
</cp:coreProperties>
</file>